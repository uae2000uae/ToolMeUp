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4E1D5D92-A828-497A-80BE-570A6C22EBB1/Library/Application Support/Drafts/"/>
    </mc:Choice>
  </mc:AlternateContent>
  <xr:revisionPtr revIDLastSave="13" documentId="8_{BA57FCF3-A66E-C440-8ADF-C0A84BB3501E}" xr6:coauthVersionLast="47" xr6:coauthVersionMax="47" xr10:uidLastSave="{2B8FDDE6-1B2F-124E-8A61-26952661CA2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B8" i="1"/>
  <c r="B5" i="1"/>
  <c r="C5" i="1"/>
  <c r="D8" i="1"/>
  <c r="D7" i="1"/>
  <c r="F10" i="1"/>
  <c r="G10" i="1"/>
  <c r="H10" i="1"/>
  <c r="K9" i="1"/>
  <c r="K10" i="1"/>
  <c r="F5" i="1"/>
  <c r="G5" i="1"/>
  <c r="H5" i="1"/>
  <c r="K4" i="1"/>
  <c r="K5" i="1"/>
  <c r="L10" i="1"/>
  <c r="M10" i="1"/>
  <c r="F12" i="1"/>
  <c r="G12" i="1"/>
  <c r="H12" i="1"/>
  <c r="K11" i="1"/>
  <c r="K12" i="1"/>
  <c r="L12" i="1"/>
  <c r="M12" i="1"/>
  <c r="F14" i="1"/>
  <c r="G14" i="1"/>
  <c r="H14" i="1"/>
  <c r="K13" i="1"/>
  <c r="K14" i="1"/>
  <c r="L14" i="1"/>
  <c r="M14" i="1"/>
  <c r="F8" i="1"/>
  <c r="G8" i="1"/>
  <c r="H8" i="1"/>
  <c r="K7" i="1"/>
  <c r="K8" i="1"/>
  <c r="L8" i="1"/>
  <c r="M8" i="1"/>
  <c r="I10" i="1"/>
  <c r="I12" i="1"/>
  <c r="I14" i="1"/>
  <c r="I8" i="1"/>
  <c r="B10" i="1"/>
  <c r="C10" i="1"/>
  <c r="D10" i="1"/>
  <c r="D9" i="1"/>
  <c r="B12" i="1"/>
  <c r="C12" i="1"/>
  <c r="D12" i="1"/>
  <c r="D11" i="1"/>
  <c r="B14" i="1"/>
  <c r="C14" i="1"/>
  <c r="D14" i="1"/>
  <c r="D13" i="1"/>
</calcChain>
</file>

<file path=xl/sharedStrings.xml><?xml version="1.0" encoding="utf-8"?>
<sst xmlns="http://schemas.openxmlformats.org/spreadsheetml/2006/main" count="20" uniqueCount="19">
  <si>
    <t>Offset</t>
  </si>
  <si>
    <t>Width</t>
  </si>
  <si>
    <t>OEM</t>
  </si>
  <si>
    <t>Rim</t>
  </si>
  <si>
    <t>Ride +</t>
  </si>
  <si>
    <t>Speed +</t>
  </si>
  <si>
    <t>Ride</t>
  </si>
  <si>
    <t>Tyre D&amp;R</t>
  </si>
  <si>
    <t>Speed</t>
  </si>
  <si>
    <t>Tyre &amp; Height</t>
  </si>
  <si>
    <t>Wheel &amp; Shape</t>
  </si>
  <si>
    <t>Example</t>
  </si>
  <si>
    <t>Km/h</t>
  </si>
  <si>
    <t>Profile</t>
  </si>
  <si>
    <t>Poke +</t>
  </si>
  <si>
    <t>40(+-4)</t>
  </si>
  <si>
    <t>27(+-4)</t>
  </si>
  <si>
    <t>21(+-4)</t>
  </si>
  <si>
    <t>33(+-4)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</si>
</sst>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2" fontId="1" fillId="0" borderId="0" xfId="0" applyNumberFormat="1" applyFont="1"/>
    <xf numFmtId="0" fontId="0" fillId="2" borderId="0" xfId="0" applyFill="1"/>
    <xf numFmtId="0" fontId="0" fillId="2" borderId="0" xfId="0" applyFill="1" applyBorder="1"/>
    <xf numFmtId="10" fontId="2" fillId="0" borderId="4" xfId="0" applyNumberFormat="1" applyFont="1" applyBorder="1"/>
    <xf numFmtId="0" fontId="0" fillId="3" borderId="0" xfId="0" applyFill="1"/>
    <xf numFmtId="2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0AC0-41C9-3E44-84FE-66E9E483E041}">
  <dimension ref="A1:M14"/>
  <sheetViews>
    <sheetView tabSelected="1" zoomScaleNormal="150" zoomScaleSheetLayoutView="100" workbookViewId="0">
      <selection activeCell="L7" sqref="L7"/>
    </sheetView>
  </sheetViews>
  <sheetFormatPr defaultRowHeight="15" x14ac:dyDescent="0.2"/>
  <cols>
    <col min="10" max="10" width="2.15234375" customWidth="1"/>
  </cols>
  <sheetData>
    <row r="1" spans="1:13" x14ac:dyDescent="0.2">
      <c r="F1" s="10" t="s">
        <v>6</v>
      </c>
      <c r="G1" s="10"/>
      <c r="H1" s="10"/>
      <c r="I1" s="10"/>
      <c r="J1" s="10"/>
      <c r="K1" s="10"/>
      <c r="L1" s="10"/>
      <c r="M1" s="10"/>
    </row>
    <row r="2" spans="1:13" x14ac:dyDescent="0.2">
      <c r="B2" s="8" t="s">
        <v>10</v>
      </c>
      <c r="C2" s="8"/>
      <c r="D2" s="8"/>
      <c r="F2" s="7" t="s">
        <v>9</v>
      </c>
      <c r="G2" s="7"/>
      <c r="H2" s="7"/>
      <c r="I2" s="7"/>
      <c r="J2" s="7"/>
      <c r="K2" s="7" t="s">
        <v>8</v>
      </c>
      <c r="L2" s="7"/>
      <c r="M2" s="7"/>
    </row>
    <row r="3" spans="1:13" x14ac:dyDescent="0.2">
      <c r="B3" t="s">
        <v>1</v>
      </c>
      <c r="C3" t="s">
        <v>0</v>
      </c>
      <c r="D3" t="s">
        <v>14</v>
      </c>
      <c r="F3" t="s">
        <v>3</v>
      </c>
      <c r="G3" t="s">
        <v>1</v>
      </c>
      <c r="H3" t="s">
        <v>13</v>
      </c>
      <c r="I3" t="s">
        <v>4</v>
      </c>
      <c r="K3" t="s">
        <v>7</v>
      </c>
      <c r="L3" t="s">
        <v>5</v>
      </c>
      <c r="M3" t="s">
        <v>11</v>
      </c>
    </row>
    <row r="4" spans="1:13" x14ac:dyDescent="0.2">
      <c r="A4" t="s">
        <v>2</v>
      </c>
      <c r="B4" s="12">
        <v>8.5</v>
      </c>
      <c r="C4" s="12">
        <v>42.5</v>
      </c>
      <c r="D4" s="12"/>
      <c r="E4" s="12"/>
      <c r="F4" s="12">
        <v>19</v>
      </c>
      <c r="G4" s="12">
        <v>255</v>
      </c>
      <c r="H4" s="12">
        <v>40</v>
      </c>
      <c r="I4" s="12"/>
      <c r="J4" s="12"/>
      <c r="K4" s="12">
        <f>F5+H5*2</f>
        <v>686.59999999999991</v>
      </c>
      <c r="M4" t="s">
        <v>12</v>
      </c>
    </row>
    <row r="5" spans="1:13" x14ac:dyDescent="0.2">
      <c r="B5" s="12">
        <f>25.4*B4</f>
        <v>215.89999999999998</v>
      </c>
      <c r="C5" s="12">
        <f>C4</f>
        <v>42.5</v>
      </c>
      <c r="D5" s="12">
        <v>0</v>
      </c>
      <c r="E5" s="12"/>
      <c r="F5" s="12">
        <f>25.4*F4</f>
        <v>482.59999999999997</v>
      </c>
      <c r="G5" s="12">
        <f>G4</f>
        <v>255</v>
      </c>
      <c r="H5" s="12">
        <f>G5*H4%</f>
        <v>102</v>
      </c>
      <c r="I5" s="12">
        <v>0</v>
      </c>
      <c r="J5" s="12"/>
      <c r="K5" s="12">
        <f>K4/2*PI()</f>
        <v>1078.5087579773758</v>
      </c>
      <c r="L5">
        <v>0</v>
      </c>
      <c r="M5">
        <v>100</v>
      </c>
    </row>
    <row r="6" spans="1:13" ht="15.75" thickBot="1" x14ac:dyDescent="0.25"/>
    <row r="7" spans="1:13" ht="15.75" thickBot="1" x14ac:dyDescent="0.25">
      <c r="B7" s="3">
        <v>8.5</v>
      </c>
      <c r="C7" s="4">
        <v>21</v>
      </c>
      <c r="D7" s="6">
        <f>D8/25.4</f>
        <v>0.84645669291338588</v>
      </c>
      <c r="E7" t="s">
        <v>17</v>
      </c>
      <c r="F7" s="2">
        <v>19</v>
      </c>
      <c r="G7" s="2">
        <v>265</v>
      </c>
      <c r="H7" s="2">
        <v>40</v>
      </c>
      <c r="K7" s="6">
        <f>F8+H8*2</f>
        <v>694.59999999999991</v>
      </c>
    </row>
    <row r="8" spans="1:13" ht="15.75" thickBot="1" x14ac:dyDescent="0.25">
      <c r="B8" s="1">
        <f>25.4*B7</f>
        <v>215.89999999999998</v>
      </c>
      <c r="C8" s="1">
        <f>C7</f>
        <v>21</v>
      </c>
      <c r="D8" s="5">
        <f>(B8-B$5)/2+C$5-C8</f>
        <v>21.5</v>
      </c>
      <c r="F8" s="1">
        <f>25.4*F7</f>
        <v>482.59999999999997</v>
      </c>
      <c r="G8" s="1">
        <f>G7</f>
        <v>265</v>
      </c>
      <c r="H8" s="1">
        <f>G8*H7%</f>
        <v>106</v>
      </c>
      <c r="I8" s="5">
        <f>((F8-F$5)+(G8-G$5)+(H8-H$5))/2</f>
        <v>7</v>
      </c>
      <c r="K8" s="6">
        <f>K7/2*PI()</f>
        <v>1091.0751285917349</v>
      </c>
      <c r="L8" s="9">
        <f>K8/K$5-1</f>
        <v>1.1651616661811692E-2</v>
      </c>
      <c r="M8" s="11">
        <f>M$5/(1+L8)</f>
        <v>98.8482579902102</v>
      </c>
    </row>
    <row r="9" spans="1:13" ht="15.75" thickBot="1" x14ac:dyDescent="0.25">
      <c r="B9" s="3">
        <v>9</v>
      </c>
      <c r="C9" s="4">
        <v>35</v>
      </c>
      <c r="D9" s="6">
        <f t="shared" ref="D9:D14" si="0">D10/25.4</f>
        <v>0.54527559055118147</v>
      </c>
      <c r="E9" t="s">
        <v>16</v>
      </c>
      <c r="F9" s="2">
        <v>20</v>
      </c>
      <c r="G9" s="2">
        <v>255</v>
      </c>
      <c r="H9" s="2">
        <v>40</v>
      </c>
      <c r="K9" s="6">
        <f t="shared" ref="K9:K14" si="1">F10+H10*2</f>
        <v>712</v>
      </c>
      <c r="M9" s="11"/>
    </row>
    <row r="10" spans="1:13" ht="15.75" thickBot="1" x14ac:dyDescent="0.25">
      <c r="B10" s="1">
        <f t="shared" ref="B10:B14" si="2">25.4*B9</f>
        <v>228.6</v>
      </c>
      <c r="C10" s="1">
        <f t="shared" ref="C10:C14" si="3">C9</f>
        <v>35</v>
      </c>
      <c r="D10" s="5">
        <f>(B10-B$5)/2+C$5-C10</f>
        <v>13.850000000000009</v>
      </c>
      <c r="F10" s="1">
        <f t="shared" ref="F10:F14" si="4">25.4*F9</f>
        <v>508</v>
      </c>
      <c r="G10" s="1">
        <f t="shared" ref="G10:G14" si="5">G9</f>
        <v>255</v>
      </c>
      <c r="H10" s="1">
        <f t="shared" ref="H10" si="6">G10*H9%</f>
        <v>102</v>
      </c>
      <c r="I10" s="5">
        <f>((F10-F$5)+(G10-G$5)+(H10-H$5))/2</f>
        <v>12.700000000000017</v>
      </c>
      <c r="K10" s="6">
        <f t="shared" ref="K10:K14" si="7">K9/2*PI()</f>
        <v>1118.4069846779664</v>
      </c>
      <c r="L10" s="9">
        <f t="shared" ref="L10" si="8">K10/K$5-1</f>
        <v>3.6993882901252828E-2</v>
      </c>
      <c r="M10" s="11">
        <f t="shared" ref="M10" si="9">M$5/(1+L10)</f>
        <v>96.432584269662897</v>
      </c>
    </row>
    <row r="11" spans="1:13" ht="15.75" thickBot="1" x14ac:dyDescent="0.25">
      <c r="B11" s="3">
        <v>9.5</v>
      </c>
      <c r="C11" s="4">
        <v>35</v>
      </c>
      <c r="D11" s="6">
        <f t="shared" ref="D11:D14" si="10">D12/25.4</f>
        <v>0.79527559055118124</v>
      </c>
      <c r="E11" t="s">
        <v>18</v>
      </c>
      <c r="F11" s="2">
        <v>20</v>
      </c>
      <c r="G11" s="2">
        <v>285</v>
      </c>
      <c r="H11" s="2">
        <v>35</v>
      </c>
      <c r="K11" s="6">
        <f t="shared" ref="K11:K14" si="11">F12+H12*2</f>
        <v>707.5</v>
      </c>
      <c r="M11" s="11"/>
    </row>
    <row r="12" spans="1:13" ht="15.75" thickBot="1" x14ac:dyDescent="0.25">
      <c r="B12" s="1">
        <f t="shared" ref="B12:B14" si="12">25.4*B11</f>
        <v>241.29999999999998</v>
      </c>
      <c r="C12" s="1">
        <f t="shared" ref="C12:C14" si="13">C11</f>
        <v>35</v>
      </c>
      <c r="D12" s="5">
        <f t="shared" ref="D12:D14" si="14">(B12-B$5)/2+C$5-C12</f>
        <v>20.200000000000003</v>
      </c>
      <c r="F12" s="1">
        <f t="shared" ref="F12:F14" si="15">25.4*F11</f>
        <v>508</v>
      </c>
      <c r="G12" s="1">
        <f t="shared" ref="G12:G14" si="16">G11</f>
        <v>285</v>
      </c>
      <c r="H12" s="1">
        <f t="shared" ref="H12" si="17">G12*H11%</f>
        <v>99.75</v>
      </c>
      <c r="I12" s="5">
        <f>((F12-F$5)+(G12-G$5)+(H12-H$5))/2</f>
        <v>26.575000000000017</v>
      </c>
      <c r="K12" s="6">
        <f t="shared" ref="K12:K14" si="18">K11/2*PI()</f>
        <v>1111.3384012073893</v>
      </c>
      <c r="L12" s="9">
        <f t="shared" ref="L12" si="19">K12/K$5-1</f>
        <v>3.0439848528983626E-2</v>
      </c>
      <c r="M12" s="11">
        <f t="shared" ref="M12" si="20">M$5/(1+L12)</f>
        <v>97.045936395759696</v>
      </c>
    </row>
    <row r="13" spans="1:13" ht="15.75" thickBot="1" x14ac:dyDescent="0.25">
      <c r="B13" s="3">
        <v>10</v>
      </c>
      <c r="C13" s="4">
        <v>40</v>
      </c>
      <c r="D13" s="6">
        <f t="shared" ref="D13:D14" si="21">D14/25.4</f>
        <v>0.84842519685039419</v>
      </c>
      <c r="E13" t="s">
        <v>15</v>
      </c>
      <c r="F13" s="2">
        <v>19</v>
      </c>
      <c r="G13" s="2">
        <v>275</v>
      </c>
      <c r="H13" s="2">
        <v>40</v>
      </c>
      <c r="K13" s="6">
        <f t="shared" ref="K13:K14" si="22">F14+H14*2</f>
        <v>702.59999999999991</v>
      </c>
      <c r="M13" s="11"/>
    </row>
    <row r="14" spans="1:13" ht="15.75" thickBot="1" x14ac:dyDescent="0.25">
      <c r="B14" s="1">
        <f t="shared" ref="B14" si="23">25.4*B13</f>
        <v>254</v>
      </c>
      <c r="C14" s="1">
        <f t="shared" ref="C14" si="24">C13</f>
        <v>40</v>
      </c>
      <c r="D14" s="5">
        <f t="shared" ref="D14" si="25">(B14-B$5)/2+C$5-C14</f>
        <v>21.550000000000011</v>
      </c>
      <c r="F14" s="1">
        <f t="shared" ref="F14" si="26">25.4*F13</f>
        <v>482.59999999999997</v>
      </c>
      <c r="G14" s="1">
        <f t="shared" ref="G14" si="27">G13</f>
        <v>275</v>
      </c>
      <c r="H14" s="1">
        <f t="shared" ref="H14" si="28">G14*H13%</f>
        <v>110</v>
      </c>
      <c r="I14" s="5">
        <f>((F14-F$5)+(G14-G$5)+(H14-H$5))/2</f>
        <v>14</v>
      </c>
      <c r="K14" s="6">
        <f t="shared" ref="K14" si="29">K13/2*PI()</f>
        <v>1103.6414992060941</v>
      </c>
      <c r="L14" s="9">
        <f t="shared" ref="L14" si="30">K14/K$5-1</f>
        <v>2.3303233323623607E-2</v>
      </c>
      <c r="M14" s="11">
        <f t="shared" ref="M14" si="31">M$5/(1+L14)</f>
        <v>97.722744093367496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b79772a-82d6-468a-86d6-22ff1101ba48}" enabled="1" method="Privileged" siteId="{e0ba2eba-5425-4d9b-b24b-f0f4845bcf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Shihab Alhammadi</dc:creator>
  <dcterms:created xsi:type="dcterms:W3CDTF">2024-01-05T20:27:56Z</dcterms:created>
</cp:coreProperties>
</file>